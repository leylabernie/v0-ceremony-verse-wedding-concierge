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Room Block Tracker" sheetId="2" state="visible" r:id="rId2"/>
    <sheet name="Flight Manifest" sheetId="3" state="visible" r:id="rId3"/>
    <sheet name="Events &amp; Dietary" sheetId="4" state="visible" r:id="rId4"/>
    <sheet name="Day Passes &amp; Dead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C1917"/>
      <sz val="16"/>
    </font>
    <font>
      <name val="Noto Sans SC"/>
      <color rgb="00FFFFFF"/>
      <sz val="11"/>
    </font>
    <font>
      <name val="Noto Sans SC"/>
      <color rgb="001C1917"/>
      <sz val="11"/>
    </font>
    <font>
      <name val="Noto Sans SC"/>
      <color rgb="00A39888"/>
      <sz val="9"/>
    </font>
  </fonts>
  <fills count="5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FFFFFF"/>
      </patternFill>
    </fill>
    <fill>
      <patternFill patternType="solid">
        <fgColor rgb="00FDFBF7"/>
      </patternFill>
    </fill>
  </fills>
  <borders count="2">
    <border>
      <left/>
      <right/>
      <top/>
      <bottom/>
      <diagonal/>
    </border>
    <border>
      <bottom style="thin">
        <color rgb="00E7E0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60" customWidth="1" min="3" max="3"/>
    <col width="8" customWidth="1" min="4" max="4"/>
  </cols>
  <sheetData>
    <row r="1" ht="15" customHeight="1"/>
    <row r="2" ht="32" customHeight="1">
      <c r="B2" s="1" t="inlineStr">
        <is>
          <t>CeremonyVerse Master Room-Block Tracker</t>
        </is>
      </c>
    </row>
    <row r="3" ht="8" customHeight="1"/>
    <row r="4" ht="28" customHeight="1">
      <c r="B4" s="2" t="inlineStr">
        <is>
          <t>Step</t>
        </is>
      </c>
      <c r="C4" s="2" t="inlineStr">
        <is>
          <t>What to do</t>
        </is>
      </c>
      <c r="D4" s="2" t="n"/>
    </row>
    <row r="5" ht="54" customHeight="1">
      <c r="B5" s="3" t="inlineStr">
        <is>
          <t>1</t>
        </is>
      </c>
      <c r="C5" s="3" t="inlineStr">
        <is>
          <t>Fill the Room Block Tracker sheet first — one row per guest, including elders' building and accessibility needs.</t>
        </is>
      </c>
      <c r="D5" s="3" t="n"/>
    </row>
    <row r="6" ht="54" customHeight="1">
      <c r="B6" s="4" t="inlineStr">
        <is>
          <t>2</t>
        </is>
      </c>
      <c r="C6" s="4" t="inlineStr">
        <is>
          <t>Ask the resort to confirm building and floor assignments in writing BEFORE you sign. Verbal promises do not count.</t>
        </is>
      </c>
      <c r="D6" s="4" t="n"/>
    </row>
    <row r="7" ht="54" customHeight="1">
      <c r="B7" s="3" t="inlineStr">
        <is>
          <t>3</t>
        </is>
      </c>
      <c r="C7" s="3" t="inlineStr">
        <is>
          <t>Copy the Flight Manifest into one shared document with the resort's event manager copied before the first guest lands.</t>
        </is>
      </c>
      <c r="D7" s="3" t="n"/>
    </row>
    <row r="8" ht="54" customHeight="1">
      <c r="B8" s="4" t="inlineStr">
        <is>
          <t>4</t>
        </is>
      </c>
      <c r="C8" s="4" t="inlineStr">
        <is>
          <t>Use the Events &amp; Dietary sheet to hold every event space and every Jain / satvik requirement in the banquet documentation.</t>
        </is>
      </c>
      <c r="D8" s="4" t="n"/>
    </row>
    <row r="9" ht="54" customHeight="1">
      <c r="B9" s="3" t="inlineStr">
        <is>
          <t>5</t>
        </is>
      </c>
      <c r="C9" s="3" t="inlineStr">
        <is>
          <t>Log non-resort guests (day passes) and payment deadlines on the last sheet so nothing arrives as a surprise invoice.</t>
        </is>
      </c>
      <c r="D9" s="3" t="n"/>
    </row>
    <row r="10" ht="22" customHeight="1"/>
    <row r="11" ht="22" customHeight="1">
      <c r="B11" s="5" t="inlineStr">
        <is>
          <t>Your key dates (fill in)</t>
        </is>
      </c>
    </row>
    <row r="12" ht="28" customHeight="1">
      <c r="B12" s="2" t="inlineStr">
        <is>
          <t>Milestone</t>
        </is>
      </c>
      <c r="C12" s="2" t="inlineStr">
        <is>
          <t>Your date / notes</t>
        </is>
      </c>
    </row>
    <row r="13" ht="22" customHeight="1">
      <c r="B13" s="3" t="inlineStr">
        <is>
          <t>Room-block contract signed</t>
        </is>
      </c>
      <c r="C13" s="3" t="inlineStr"/>
    </row>
    <row r="14" ht="22" customHeight="1">
      <c r="B14" s="4" t="inlineStr">
        <is>
          <t>Deposit due to resort</t>
        </is>
      </c>
      <c r="C14" s="4" t="inlineStr"/>
    </row>
    <row r="15" ht="22" customHeight="1">
      <c r="B15" s="3" t="inlineStr">
        <is>
          <t>Room-block cutoff date</t>
        </is>
      </c>
      <c r="C15" s="3" t="inlineStr"/>
    </row>
    <row r="16" ht="22" customHeight="1">
      <c r="B16" s="4" t="inlineStr">
        <is>
          <t>Final guest count due to resort</t>
        </is>
      </c>
      <c r="C16" s="4" t="inlineStr"/>
    </row>
    <row r="17" ht="22" customHeight="1">
      <c r="B17" s="3" t="inlineStr">
        <is>
          <t>Attrition (unbooked room) clause</t>
        </is>
      </c>
      <c r="C17" s="3" t="inlineStr"/>
    </row>
    <row r="18" ht="22" customHeight="1">
      <c r="B18" s="4" t="inlineStr">
        <is>
          <t>Vendor meal policy (&gt;4 hours on site)</t>
        </is>
      </c>
      <c r="C18" s="4" t="inlineStr"/>
    </row>
    <row r="19" ht="22" customHeight="1"/>
    <row r="20" ht="22" customHeight="1"/>
    <row r="21" ht="22" customHeight="1">
      <c r="B21" s="6" t="inlineStr">
        <is>
          <t>From Mini (Bhamini "Mini" Patel), CeremonyVerse Destination Wedding Planning.</t>
        </is>
      </c>
    </row>
    <row r="22" ht="22" customHeight="1">
      <c r="B22" s="6" t="inlineStr">
        <is>
          <t>Planning guides: https://www.ceremonyverse.com  ·  Guest bookings: https://ceremonyversetravel.com</t>
        </is>
      </c>
    </row>
    <row r="23" ht="22" customHeight="1">
      <c r="B23" s="6" t="inlineStr">
        <is>
          <t>CeremonyVerse Travel is an independent affiliate of A.S.A.P. Cruises Inc., Florida Seller of Travel No. FST ST15578.</t>
        </is>
      </c>
    </row>
    <row r="24" ht="22" customHeight="1">
      <c r="B24" s="6" t="inlineStr">
        <is>
          <t>Rows marked (example) are samples — overwrite them with your own guests.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26" customWidth="1" min="3" max="3"/>
    <col width="8" customWidth="1" min="4" max="4"/>
    <col width="17" customWidth="1" min="5" max="5"/>
    <col width="15" customWidth="1" min="6" max="6"/>
    <col width="8" customWidth="1" min="7" max="7"/>
    <col width="26" customWidth="1" min="8" max="8"/>
    <col width="30" customWidth="1" min="9" max="9"/>
    <col width="16" customWidth="1" min="10" max="10"/>
    <col width="10" customWidth="1" min="11" max="11"/>
    <col width="30" customWidth="1" min="12" max="12"/>
  </cols>
  <sheetData>
    <row r="1" ht="15" customHeight="1"/>
    <row r="2" ht="32" customHeight="1">
      <c r="B2" s="1" t="inlineStr">
        <is>
          <t>Room Block Tracker — one row per guest</t>
        </is>
      </c>
    </row>
    <row r="3" ht="8" customHeight="1"/>
    <row r="4" ht="38" customHeight="1">
      <c r="B4" s="2" t="inlineStr">
        <is>
          <t>Guest Name</t>
        </is>
      </c>
      <c r="C4" s="2" t="inlineStr">
        <is>
          <t>Family Side</t>
        </is>
      </c>
      <c r="D4" s="2" t="inlineStr">
        <is>
          <t>Age Group</t>
        </is>
      </c>
      <c r="E4" s="2" t="inlineStr">
        <is>
          <t>Dietary Requirement</t>
        </is>
      </c>
      <c r="F4" s="2" t="inlineStr">
        <is>
          <t>Building</t>
        </is>
      </c>
      <c r="G4" s="2" t="inlineStr">
        <is>
          <t>Floor</t>
        </is>
      </c>
      <c r="H4" s="2" t="inlineStr">
        <is>
          <t>Room Type</t>
        </is>
      </c>
      <c r="I4" s="2" t="inlineStr">
        <is>
          <t>Accessibility Needs</t>
        </is>
      </c>
      <c r="J4" s="2" t="inlineStr">
        <is>
          <t>Deposit Status</t>
        </is>
      </c>
      <c r="K4" s="2" t="inlineStr">
        <is>
          <t>Confirmation #</t>
        </is>
      </c>
      <c r="L4" s="2" t="inlineStr">
        <is>
          <t>Notes</t>
        </is>
      </c>
    </row>
    <row r="5" ht="38" customHeight="1">
      <c r="B5" s="3" t="inlineStr">
        <is>
          <t>Rajesh (example)</t>
        </is>
      </c>
      <c r="C5" s="3" t="inlineStr">
        <is>
          <t>Groom</t>
        </is>
      </c>
      <c r="D5" s="3" t="inlineStr">
        <is>
          <t>Elder</t>
        </is>
      </c>
      <c r="E5" s="3" t="inlineStr">
        <is>
          <t>Jain</t>
        </is>
      </c>
      <c r="F5" s="3" t="inlineStr">
        <is>
          <t>Main Building</t>
        </is>
      </c>
      <c r="G5" s="3" t="inlineStr">
        <is>
          <t>1</t>
        </is>
      </c>
      <c r="H5" s="3" t="inlineStr">
        <is>
          <t>King, walk-in shower</t>
        </is>
      </c>
      <c r="I5" s="3" t="inlineStr">
        <is>
          <t>Ground floor requested; near lobby</t>
        </is>
      </c>
      <c r="J5" s="3" t="inlineStr">
        <is>
          <t>Paid</t>
        </is>
      </c>
      <c r="K5" s="3" t="inlineStr">
        <is>
          <t>RB-88214</t>
        </is>
      </c>
      <c r="L5" s="3" t="inlineStr">
        <is>
          <t>Early check-in needed</t>
        </is>
      </c>
    </row>
    <row r="6" ht="22" customHeight="1">
      <c r="B6" s="4" t="inlineStr">
        <is>
          <t>Meera (example)</t>
        </is>
      </c>
      <c r="C6" s="4" t="inlineStr">
        <is>
          <t>Groom</t>
        </is>
      </c>
      <c r="D6" s="4" t="inlineStr">
        <is>
          <t>Elder</t>
        </is>
      </c>
      <c r="E6" s="4" t="inlineStr">
        <is>
          <t>Satvik</t>
        </is>
      </c>
      <c r="F6" s="4" t="inlineStr">
        <is>
          <t>Main Building</t>
        </is>
      </c>
      <c r="G6" s="4" t="inlineStr">
        <is>
          <t>1</t>
        </is>
      </c>
      <c r="H6" s="4" t="inlineStr">
        <is>
          <t>Double, accessible</t>
        </is>
      </c>
      <c r="I6" s="4" t="inlineStr">
        <is>
          <t>Walker; near elevator</t>
        </is>
      </c>
      <c r="J6" s="4" t="inlineStr">
        <is>
          <t>Paid</t>
        </is>
      </c>
      <c r="K6" s="4" t="inlineStr">
        <is>
          <t>RB-88215</t>
        </is>
      </c>
      <c r="L6" s="4" t="inlineStr">
        <is>
          <t>Arrives 10:40 AM, Day 1</t>
        </is>
      </c>
    </row>
    <row r="7" ht="22" customHeight="1">
      <c r="B7" s="3" t="inlineStr">
        <is>
          <t>Kunal (example)</t>
        </is>
      </c>
      <c r="C7" s="3" t="inlineStr">
        <is>
          <t>Groom</t>
        </is>
      </c>
      <c r="D7" s="3" t="inlineStr">
        <is>
          <t>Adult</t>
        </is>
      </c>
      <c r="E7" s="3" t="inlineStr">
        <is>
          <t>No restrictions</t>
        </is>
      </c>
      <c r="F7" s="3" t="inlineStr">
        <is>
          <t>Garden Wing</t>
        </is>
      </c>
      <c r="G7" s="3" t="inlineStr">
        <is>
          <t>2</t>
        </is>
      </c>
      <c r="H7" s="3" t="inlineStr">
        <is>
          <t>Double</t>
        </is>
      </c>
      <c r="I7" s="3" t="inlineStr">
        <is>
          <t>None</t>
        </is>
      </c>
      <c r="J7" s="3" t="inlineStr">
        <is>
          <t>Due 2026-10-01</t>
        </is>
      </c>
      <c r="K7" s="3" t="inlineStr">
        <is>
          <t>RB-88216</t>
        </is>
      </c>
      <c r="L7" s="3" t="inlineStr">
        <is>
          <t>Arrives via Cancún</t>
        </is>
      </c>
    </row>
    <row r="8" ht="22" customHeight="1">
      <c r="B8" s="4" t="inlineStr">
        <is>
          <t>Nisha (example)</t>
        </is>
      </c>
      <c r="C8" s="4" t="inlineStr">
        <is>
          <t>Bride</t>
        </is>
      </c>
      <c r="D8" s="4" t="inlineStr">
        <is>
          <t>Adult</t>
        </is>
      </c>
      <c r="E8" s="4" t="inlineStr">
        <is>
          <t>Pure vegetarian</t>
        </is>
      </c>
      <c r="F8" s="4" t="inlineStr">
        <is>
          <t>Garden Wing</t>
        </is>
      </c>
      <c r="G8" s="4" t="inlineStr">
        <is>
          <t>2</t>
        </is>
      </c>
      <c r="H8" s="4" t="inlineStr">
        <is>
          <t>Double</t>
        </is>
      </c>
      <c r="I8" s="4" t="inlineStr">
        <is>
          <t>None</t>
        </is>
      </c>
      <c r="J8" s="4" t="inlineStr">
        <is>
          <t>Paid</t>
        </is>
      </c>
      <c r="K8" s="4" t="inlineStr">
        <is>
          <t>RB-88217</t>
        </is>
      </c>
      <c r="L8" s="4" t="inlineStr">
        <is>
          <t>With two children</t>
        </is>
      </c>
    </row>
    <row r="9" ht="22" customHeight="1">
      <c r="B9" s="3" t="inlineStr">
        <is>
          <t>Aarav (example)</t>
        </is>
      </c>
      <c r="C9" s="3" t="inlineStr">
        <is>
          <t>Bride</t>
        </is>
      </c>
      <c r="D9" s="3" t="inlineStr">
        <is>
          <t>Child</t>
        </is>
      </c>
      <c r="E9" s="3" t="inlineStr">
        <is>
          <t>No restrictions</t>
        </is>
      </c>
      <c r="F9" s="3" t="inlineStr">
        <is>
          <t>Garden Wing</t>
        </is>
      </c>
      <c r="G9" s="3" t="inlineStr">
        <is>
          <t>2</t>
        </is>
      </c>
      <c r="H9" s="3" t="inlineStr">
        <is>
          <t>Shares with parents</t>
        </is>
      </c>
      <c r="I9" s="3" t="inlineStr">
        <is>
          <t>None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Nisha's son</t>
        </is>
      </c>
    </row>
    <row r="10" ht="38" customHeight="1">
      <c r="B10" s="4" t="inlineStr">
        <is>
          <t>Kantibhai (example)</t>
        </is>
      </c>
      <c r="C10" s="4" t="inlineStr">
        <is>
          <t>Bride</t>
        </is>
      </c>
      <c r="D10" s="4" t="inlineStr">
        <is>
          <t>Elder</t>
        </is>
      </c>
      <c r="E10" s="4" t="inlineStr">
        <is>
          <t>Jain</t>
        </is>
      </c>
      <c r="F10" s="4" t="inlineStr">
        <is>
          <t>Main Building</t>
        </is>
      </c>
      <c r="G10" s="4" t="inlineStr">
        <is>
          <t>1</t>
        </is>
      </c>
      <c r="H10" s="4" t="inlineStr">
        <is>
          <t>King, accessible roll-in</t>
        </is>
      </c>
      <c r="I10" s="4" t="inlineStr">
        <is>
          <t>Wheelchair; ramp access requested</t>
        </is>
      </c>
      <c r="J10" s="4" t="inlineStr">
        <is>
          <t>Requested</t>
        </is>
      </c>
      <c r="K10" s="4" t="inlineStr">
        <is>
          <t>—</t>
        </is>
      </c>
      <c r="L10" s="4" t="inlineStr">
        <is>
          <t>Confirm roll-in shower in writing</t>
        </is>
      </c>
    </row>
    <row r="11" ht="22" customHeight="1">
      <c r="B11" s="4" t="inlineStr">
        <is>
          <t>Total guests listed</t>
        </is>
      </c>
      <c r="C11" s="4">
        <f>COUNTA(B5:B10)</f>
        <v/>
      </c>
      <c r="D11" s="4" t="n"/>
    </row>
    <row r="12" ht="38" customHeight="1">
      <c r="B12" s="3" t="inlineStr">
        <is>
          <t>Elders (need main building / accessibility)</t>
        </is>
      </c>
      <c r="C12" s="3">
        <f>COUNTIF(D5:D10,"Elder")</f>
        <v/>
      </c>
      <c r="D12" s="3" t="n"/>
    </row>
    <row r="13" ht="22" customHeight="1">
      <c r="B13" s="4" t="inlineStr">
        <is>
          <t>Jain meals needed</t>
        </is>
      </c>
      <c r="C13" s="4">
        <f>COUNTIF(E5:E10,"Jain")</f>
        <v/>
      </c>
      <c r="D13" s="4" t="n"/>
    </row>
    <row r="14" ht="22" customHeight="1">
      <c r="B14" s="3" t="inlineStr">
        <is>
          <t>Deposits received</t>
        </is>
      </c>
      <c r="C14" s="3">
        <f>COUNTIF(J5:J10,"Paid")</f>
        <v/>
      </c>
      <c r="D14" s="3" t="n"/>
    </row>
  </sheetData>
  <mergeCells count="1">
    <mergeCell ref="B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9" customWidth="1" min="3" max="3"/>
    <col width="9" customWidth="1" min="4" max="4"/>
    <col width="12" customWidth="1" min="5" max="5"/>
    <col width="10" customWidth="1" min="6" max="6"/>
    <col width="9" customWidth="1" min="7" max="7"/>
    <col width="12" customWidth="1" min="8" max="8"/>
    <col width="11" customWidth="1" min="9" max="9"/>
    <col width="32" customWidth="1" min="10" max="10"/>
  </cols>
  <sheetData>
    <row r="1" ht="15" customHeight="1"/>
    <row r="2" ht="32" customHeight="1">
      <c r="B2" s="1" t="inlineStr">
        <is>
          <t>Flight Manifest — one shared document, resort event manager copied</t>
        </is>
      </c>
    </row>
    <row r="3" ht="8" customHeight="1"/>
    <row r="4" ht="54" customHeight="1">
      <c r="B4" s="2" t="inlineStr">
        <is>
          <t>Guest Name</t>
        </is>
      </c>
      <c r="C4" s="2" t="inlineStr">
        <is>
          <t>Arrival Airport</t>
        </is>
      </c>
      <c r="D4" s="2" t="inlineStr">
        <is>
          <t>Airline &amp; Flight #</t>
        </is>
      </c>
      <c r="E4" s="2" t="inlineStr">
        <is>
          <t>Arrival Date</t>
        </is>
      </c>
      <c r="F4" s="2" t="inlineStr">
        <is>
          <t>Arrival Time</t>
        </is>
      </c>
      <c r="G4" s="2" t="inlineStr">
        <is>
          <t>Return Flight #</t>
        </is>
      </c>
      <c r="H4" s="2" t="inlineStr">
        <is>
          <t>Return Date</t>
        </is>
      </c>
      <c r="I4" s="2" t="inlineStr">
        <is>
          <t>Transfer Group</t>
        </is>
      </c>
      <c r="J4" s="2" t="inlineStr">
        <is>
          <t>Notes</t>
        </is>
      </c>
    </row>
    <row r="5" ht="38" customHeight="1">
      <c r="B5" s="3" t="inlineStr">
        <is>
          <t>Meera (example)</t>
        </is>
      </c>
      <c r="C5" s="3" t="inlineStr">
        <is>
          <t>Cancún (CUN)</t>
        </is>
      </c>
      <c r="D5" s="3" t="inlineStr">
        <is>
          <t>AA 1284</t>
        </is>
      </c>
      <c r="E5" s="3" t="inlineStr">
        <is>
          <t>2027-02-11</t>
        </is>
      </c>
      <c r="F5" s="3" t="inlineStr">
        <is>
          <t>10:40 AM</t>
        </is>
      </c>
      <c r="G5" s="3" t="inlineStr">
        <is>
          <t>AA 1285</t>
        </is>
      </c>
      <c r="H5" s="3" t="inlineStr">
        <is>
          <t>2027-02-15</t>
        </is>
      </c>
      <c r="I5" s="3" t="inlineStr">
        <is>
          <t>Shuttle A</t>
        </is>
      </c>
      <c r="J5" s="3" t="inlineStr">
        <is>
          <t>Wheelchair assistance requested</t>
        </is>
      </c>
    </row>
    <row r="6" ht="22" customHeight="1">
      <c r="B6" s="4" t="inlineStr">
        <is>
          <t>Kunal (example)</t>
        </is>
      </c>
      <c r="C6" s="4" t="inlineStr">
        <is>
          <t>Cancún (CUN)</t>
        </is>
      </c>
      <c r="D6" s="4" t="inlineStr">
        <is>
          <t>UA 1102</t>
        </is>
      </c>
      <c r="E6" s="4" t="inlineStr">
        <is>
          <t>2027-02-11</t>
        </is>
      </c>
      <c r="F6" s="4" t="inlineStr">
        <is>
          <t>1:15 PM</t>
        </is>
      </c>
      <c r="G6" s="4" t="inlineStr">
        <is>
          <t>UA 1103</t>
        </is>
      </c>
      <c r="H6" s="4" t="inlineStr">
        <is>
          <t>2027-02-15</t>
        </is>
      </c>
      <c r="I6" s="4" t="inlineStr">
        <is>
          <t>Shuttle B</t>
        </is>
      </c>
      <c r="J6" s="4" t="inlineStr">
        <is>
          <t>Via Houston</t>
        </is>
      </c>
    </row>
    <row r="7" ht="22" customHeight="1">
      <c r="B7" s="3" t="inlineStr">
        <is>
          <t>Nisha family (example)</t>
        </is>
      </c>
      <c r="C7" s="3" t="inlineStr">
        <is>
          <t>Mexico City (MEX)</t>
        </is>
      </c>
      <c r="D7" s="3" t="inlineStr">
        <is>
          <t>AM 604</t>
        </is>
      </c>
      <c r="E7" s="3" t="inlineStr">
        <is>
          <t>2027-02-11</t>
        </is>
      </c>
      <c r="F7" s="3" t="inlineStr">
        <is>
          <t>4:05 PM</t>
        </is>
      </c>
      <c r="G7" s="3" t="inlineStr">
        <is>
          <t>AM 605</t>
        </is>
      </c>
      <c r="H7" s="3" t="inlineStr">
        <is>
          <t>2027-02-15</t>
        </is>
      </c>
      <c r="I7" s="3" t="inlineStr">
        <is>
          <t>Shuttle B</t>
        </is>
      </c>
      <c r="J7" s="3" t="inlineStr">
        <is>
          <t>Two car seats</t>
        </is>
      </c>
    </row>
    <row r="8" ht="22" customHeight="1"/>
    <row r="9" ht="22" customHeight="1">
      <c r="B9" s="7" t="inlineStr">
        <is>
          <t>The transfer company and the resort's event manager must both receive the full manifest before the first guest lands — this is what failed on Day 2 of the 2023 family wedding.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40" customWidth="1" min="4" max="4"/>
    <col width="26" customWidth="1" min="5" max="5"/>
    <col width="16" customWidth="1" min="6" max="6"/>
    <col width="9" customWidth="1" min="7" max="7"/>
  </cols>
  <sheetData>
    <row r="1" ht="15" customHeight="1"/>
    <row r="2" ht="32" customHeight="1">
      <c r="B2" s="1" t="inlineStr">
        <is>
          <t>Event spaces &amp; dietary counts</t>
        </is>
      </c>
    </row>
    <row r="3" ht="8" customHeight="1"/>
    <row r="4" ht="54" customHeight="1">
      <c r="B4" s="2" t="inlineStr">
        <is>
          <t>Event</t>
        </is>
      </c>
      <c r="C4" s="2" t="inlineStr">
        <is>
          <t>Date</t>
        </is>
      </c>
      <c r="D4" s="2" t="inlineStr">
        <is>
          <t>Venue Requested</t>
        </is>
      </c>
      <c r="E4" s="2" t="inlineStr">
        <is>
          <t>Backup Venue</t>
        </is>
      </c>
      <c r="F4" s="2" t="inlineStr">
        <is>
          <t>Setup Window</t>
        </is>
      </c>
      <c r="G4" s="2" t="inlineStr">
        <is>
          <t>Confirmed in Writing?</t>
        </is>
      </c>
    </row>
    <row r="5" ht="38" customHeight="1">
      <c r="B5" s="3" t="inlineStr">
        <is>
          <t>Mehndi</t>
        </is>
      </c>
      <c r="C5" s="3" t="inlineStr"/>
      <c r="D5" s="3" t="inlineStr">
        <is>
          <t>Terrace / garden, afternoon shade</t>
        </is>
      </c>
      <c r="E5" s="3" t="inlineStr">
        <is>
          <t>Indoor pre-function hall</t>
        </is>
      </c>
      <c r="F5" s="3" t="inlineStr">
        <is>
          <t>2 hours before</t>
        </is>
      </c>
      <c r="G5" s="3" t="inlineStr">
        <is>
          <t>Pending</t>
        </is>
      </c>
    </row>
    <row r="6" ht="38" customHeight="1">
      <c r="B6" s="4" t="inlineStr">
        <is>
          <t>Haldi</t>
        </is>
      </c>
      <c r="C6" s="4" t="inlineStr"/>
      <c r="D6" s="4" t="inlineStr">
        <is>
          <t>Outdoor lawn WITH shade + wash-up station</t>
        </is>
      </c>
      <c r="E6" s="4" t="inlineStr">
        <is>
          <t>Covered pavilion</t>
        </is>
      </c>
      <c r="F6" s="4" t="inlineStr">
        <is>
          <t>2 hours before</t>
        </is>
      </c>
      <c r="G6" s="4" t="inlineStr">
        <is>
          <t>Pending</t>
        </is>
      </c>
    </row>
    <row r="7" ht="38" customHeight="1">
      <c r="B7" s="3" t="inlineStr">
        <is>
          <t>Sangeet</t>
        </is>
      </c>
      <c r="C7" s="3" t="inlineStr"/>
      <c r="D7" s="3" t="inlineStr">
        <is>
          <t>Pool deck or covered venue, live sound to midnight</t>
        </is>
      </c>
      <c r="E7" s="3" t="inlineStr">
        <is>
          <t>Ballroom</t>
        </is>
      </c>
      <c r="F7" s="3" t="inlineStr">
        <is>
          <t>4 hours before</t>
        </is>
      </c>
      <c r="G7" s="3" t="inlineStr">
        <is>
          <t>Pending</t>
        </is>
      </c>
    </row>
    <row r="8" ht="38" customHeight="1">
      <c r="B8" s="4" t="inlineStr">
        <is>
          <t>Baraat &amp; Ceremony</t>
        </is>
      </c>
      <c r="C8" s="4" t="inlineStr"/>
      <c r="D8" s="4" t="inlineStr">
        <is>
          <t>Lawns — confirm mandap staging dimensions</t>
        </is>
      </c>
      <c r="E8" s="4" t="inlineStr">
        <is>
          <t>Ballroom</t>
        </is>
      </c>
      <c r="F8" s="4" t="inlineStr">
        <is>
          <t>3 hours before</t>
        </is>
      </c>
      <c r="G8" s="4" t="inlineStr">
        <is>
          <t>Pending</t>
        </is>
      </c>
    </row>
    <row r="9" ht="22" customHeight="1">
      <c r="B9" s="3" t="inlineStr">
        <is>
          <t>Reception</t>
        </is>
      </c>
      <c r="C9" s="3" t="inlineStr"/>
      <c r="D9" s="3" t="inlineStr">
        <is>
          <t>Grand ballroom, stage + dance floor</t>
        </is>
      </c>
      <c r="E9" s="3" t="inlineStr">
        <is>
          <t>Ballroom B</t>
        </is>
      </c>
      <c r="F9" s="3" t="inlineStr">
        <is>
          <t>3 hours before</t>
        </is>
      </c>
      <c r="G9" s="3" t="inlineStr">
        <is>
          <t>Pending</t>
        </is>
      </c>
    </row>
    <row r="10" ht="22" customHeight="1"/>
    <row r="11" ht="22" customHeight="1">
      <c r="B11" s="5" t="inlineStr">
        <is>
          <t>Live dietary counts (from Room Block Tracker)</t>
        </is>
      </c>
    </row>
    <row r="12" ht="28" customHeight="1">
      <c r="B12" s="2" t="inlineStr">
        <is>
          <t>Requirement</t>
        </is>
      </c>
      <c r="C12" s="2" t="inlineStr">
        <is>
          <t>Guests</t>
        </is>
      </c>
    </row>
    <row r="13" ht="38" customHeight="1">
      <c r="B13" s="3" t="inlineStr">
        <is>
          <t>Jain</t>
        </is>
      </c>
      <c r="C13" s="3">
        <f>COUNTIF('Room Block Tracker'!E5:E10,B13)</f>
        <v/>
      </c>
    </row>
    <row r="14" ht="38" customHeight="1">
      <c r="B14" s="4" t="inlineStr">
        <is>
          <t>Satvik</t>
        </is>
      </c>
      <c r="C14" s="4">
        <f>COUNTIF('Room Block Tracker'!E5:E10,B14)</f>
        <v/>
      </c>
    </row>
    <row r="15" ht="38" customHeight="1">
      <c r="B15" s="3" t="inlineStr">
        <is>
          <t>Pure vegetarian</t>
        </is>
      </c>
      <c r="C15" s="3">
        <f>COUNTIF('Room Block Tracker'!E5:E10,B15)</f>
        <v/>
      </c>
    </row>
    <row r="16" ht="38" customHeight="1">
      <c r="B16" s="4" t="inlineStr">
        <is>
          <t>No restrictions</t>
        </is>
      </c>
      <c r="C16" s="4">
        <f>COUNTIF('Room Block Tracker'!E5:E10,B16)</f>
        <v/>
      </c>
    </row>
    <row r="17" ht="22" customHeight="1"/>
    <row r="18" ht="22" customHeight="1">
      <c r="B18" s="7" t="inlineStr">
        <is>
          <t>Confirm Jain and satvik preparation (no onion, garlic, or root vegetables; dedicated cookware; no shared frying oil) per event, in the banquet documentation, and reconfirm at the tasting.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7" customWidth="1" min="3" max="3"/>
    <col width="10" customWidth="1" min="4" max="4"/>
    <col width="14" customWidth="1" min="5" max="5"/>
    <col width="9" customWidth="1" min="6" max="6"/>
  </cols>
  <sheetData>
    <row r="1" ht="15" customHeight="1"/>
    <row r="2" ht="32" customHeight="1">
      <c r="B2" s="1" t="inlineStr">
        <is>
          <t>Non-resort guests &amp; payment deadlines</t>
        </is>
      </c>
    </row>
    <row r="3" ht="8" customHeight="1"/>
    <row r="4" ht="54" customHeight="1">
      <c r="B4" s="2" t="inlineStr">
        <is>
          <t>Guest Name</t>
        </is>
      </c>
      <c r="C4" s="2" t="inlineStr">
        <is>
          <t>Staying At</t>
        </is>
      </c>
      <c r="D4" s="2" t="inlineStr">
        <is>
          <t>Event Days Needing Passes</t>
        </is>
      </c>
      <c r="E4" s="2" t="inlineStr">
        <is>
          <t>Per-Day Cost (USD)</t>
        </is>
      </c>
      <c r="F4" s="2" t="inlineStr">
        <is>
          <t>Confirmed in Writing?</t>
        </is>
      </c>
    </row>
    <row r="5" ht="22" customHeight="1">
      <c r="B5" s="3" t="inlineStr">
        <is>
          <t>Kantibhai &amp; Gitaben (example)</t>
        </is>
      </c>
      <c r="C5" s="3" t="inlineStr">
        <is>
          <t>Accessible hotel nearby</t>
        </is>
      </c>
      <c r="D5" s="3" t="inlineStr">
        <is>
          <t>4</t>
        </is>
      </c>
      <c r="E5" s="3" t="inlineStr">
        <is>
          <t>TBD</t>
        </is>
      </c>
      <c r="F5" s="3" t="inlineStr">
        <is>
          <t>Pending</t>
        </is>
      </c>
    </row>
    <row r="6" ht="22" customHeight="1">
      <c r="B6" s="4" t="inlineStr">
        <is>
          <t>Dr. Shah (example)</t>
        </is>
      </c>
      <c r="C6" s="4" t="inlineStr">
        <is>
          <t>Family home, local</t>
        </is>
      </c>
      <c r="D6" s="4" t="inlineStr">
        <is>
          <t>2</t>
        </is>
      </c>
      <c r="E6" s="4" t="inlineStr">
        <is>
          <t>TBD</t>
        </is>
      </c>
      <c r="F6" s="4" t="inlineStr">
        <is>
          <t>Pending</t>
        </is>
      </c>
    </row>
    <row r="7" ht="22" customHeight="1"/>
    <row r="8" ht="22" customHeight="1">
      <c r="B8" s="5" t="inlineStr">
        <is>
          <t>Payment deadlines &amp; policies to confirm</t>
        </is>
      </c>
    </row>
    <row r="9" ht="28" customHeight="1">
      <c r="B9" s="2" t="inlineStr">
        <is>
          <t>Item</t>
        </is>
      </c>
      <c r="C9" s="2" t="inlineStr">
        <is>
          <t>Owner</t>
        </is>
      </c>
      <c r="D9" s="2" t="inlineStr">
        <is>
          <t>Due Date</t>
        </is>
      </c>
      <c r="E9" s="2" t="inlineStr">
        <is>
          <t>Amount (USD)</t>
        </is>
      </c>
      <c r="F9" s="2" t="inlineStr">
        <is>
          <t>Status</t>
        </is>
      </c>
    </row>
    <row r="10" ht="22" customHeight="1">
      <c r="B10" s="3" t="inlineStr">
        <is>
          <t>Room-block deposit</t>
        </is>
      </c>
      <c r="C10" s="3" t="inlineStr">
        <is>
          <t>Family → Resort</t>
        </is>
      </c>
      <c r="D10" s="3" t="inlineStr"/>
      <c r="E10" s="3" t="inlineStr"/>
      <c r="F10" s="3" t="inlineStr">
        <is>
          <t>Pending</t>
        </is>
      </c>
    </row>
    <row r="11" ht="38" customHeight="1">
      <c r="B11" s="4" t="inlineStr">
        <is>
          <t>Outside-vendor fees (AV vs decor broken out separately)</t>
        </is>
      </c>
      <c r="C11" s="4" t="inlineStr">
        <is>
          <t>Resort → Family</t>
        </is>
      </c>
      <c r="D11" s="4" t="inlineStr"/>
      <c r="E11" s="4" t="inlineStr"/>
      <c r="F11" s="4" t="inlineStr">
        <is>
          <t>Pending</t>
        </is>
      </c>
    </row>
    <row r="12" ht="38" customHeight="1">
      <c r="B12" s="3" t="inlineStr">
        <is>
          <t>Vendor meals (any vendor on site over 4 hours)</t>
        </is>
      </c>
      <c r="C12" s="3" t="inlineStr">
        <is>
          <t>Family → Resort</t>
        </is>
      </c>
      <c r="D12" s="3" t="inlineStr"/>
      <c r="E12" s="3" t="inlineStr"/>
      <c r="F12" s="3" t="inlineStr">
        <is>
          <t>Pending</t>
        </is>
      </c>
    </row>
    <row r="13" ht="22" customHeight="1">
      <c r="B13" s="4" t="inlineStr">
        <is>
          <t>Day-pass fees for non-resort guests</t>
        </is>
      </c>
      <c r="C13" s="4" t="inlineStr">
        <is>
          <t>Family → Resort</t>
        </is>
      </c>
      <c r="D13" s="4" t="inlineStr"/>
      <c r="E13" s="4" t="inlineStr"/>
      <c r="F13" s="4" t="inlineStr">
        <is>
          <t>Pending</t>
        </is>
      </c>
    </row>
    <row r="14" ht="38" customHeight="1">
      <c r="B14" s="3" t="inlineStr">
        <is>
          <t>Turmeric cleanup / staging fees</t>
        </is>
      </c>
      <c r="C14" s="3" t="inlineStr">
        <is>
          <t>Resort states in proposal</t>
        </is>
      </c>
      <c r="D14" s="3" t="inlineStr"/>
      <c r="E14" s="3" t="inlineStr"/>
      <c r="F14" s="3" t="inlineStr">
        <is>
          <t>Pending</t>
        </is>
      </c>
    </row>
    <row r="15" ht="22" customHeight="1"/>
    <row r="16" ht="22" customHeight="1">
      <c r="B16" s="7" t="inlineStr">
        <is>
          <t>Every fee line above was a real surprise on one of my family's three Mexico weddings. Confirm each in the written proposal before signing — Mini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:title>CeremonyVerse Master Room-Block Tracker</dc:title>
  <dcterms:created xsi:type="dcterms:W3CDTF">2026-09-17T16:33:56Z</dcterms:created>
  <dcterms:modified xsi:type="dcterms:W3CDTF">2026-09-17T16:33:56Z</dcterms:modified>
</cp:coreProperties>
</file>